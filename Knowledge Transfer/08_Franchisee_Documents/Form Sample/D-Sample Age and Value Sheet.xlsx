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ha\Documents\Gold's Gym - Manual Drafts\Gold's Gym - Manual Drafts\Forms and Samples Appendix\"/>
    </mc:Choice>
  </mc:AlternateContent>
  <xr:revisionPtr revIDLastSave="0" documentId="13_ncr:1_{D16F7ED8-0447-4F58-9D1B-ABC7A6B019CA}" xr6:coauthVersionLast="47" xr6:coauthVersionMax="47" xr10:uidLastSave="{00000000-0000-0000-0000-000000000000}"/>
  <bookViews>
    <workbookView xWindow="-110" yWindow="-110" windowWidth="19420" windowHeight="10300" xr2:uid="{18DC0D81-32D3-4E00-906A-2729A6DE5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R3" i="1" s="1"/>
  <c r="N2" i="1"/>
  <c r="R2" i="1" s="1"/>
</calcChain>
</file>

<file path=xl/sharedStrings.xml><?xml version="1.0" encoding="utf-8"?>
<sst xmlns="http://schemas.openxmlformats.org/spreadsheetml/2006/main" count="42" uniqueCount="34">
  <si>
    <t>Gym #</t>
  </si>
  <si>
    <t>Gym Name</t>
  </si>
  <si>
    <t>Category</t>
  </si>
  <si>
    <t>Equipment Type</t>
  </si>
  <si>
    <t>Asset ID</t>
  </si>
  <si>
    <t>Brand</t>
  </si>
  <si>
    <t>Description</t>
  </si>
  <si>
    <t>Model Number</t>
  </si>
  <si>
    <t>Serial Number</t>
  </si>
  <si>
    <t>PVS yes/no</t>
  </si>
  <si>
    <t>Eco-fit yes/no</t>
  </si>
  <si>
    <t>Located</t>
  </si>
  <si>
    <t>Install Date = Age</t>
  </si>
  <si>
    <t>Age (years)</t>
  </si>
  <si>
    <t>Usaage Hours 4/19</t>
  </si>
  <si>
    <t>Usage miles 4/19</t>
  </si>
  <si>
    <t>New Price</t>
  </si>
  <si>
    <t>Value</t>
  </si>
  <si>
    <t>05001</t>
  </si>
  <si>
    <t>CA-Venice</t>
  </si>
  <si>
    <t>Exercise Equipment</t>
  </si>
  <si>
    <t>Bench/Rack/Rig</t>
  </si>
  <si>
    <t>43045-0266</t>
  </si>
  <si>
    <t>Hoist</t>
  </si>
  <si>
    <t>Multi-Adjustable Bench</t>
  </si>
  <si>
    <t>CF-3160</t>
  </si>
  <si>
    <t>19-09-B01-005220</t>
  </si>
  <si>
    <t>No</t>
  </si>
  <si>
    <t>Main Floor</t>
  </si>
  <si>
    <t>Elliptical</t>
  </si>
  <si>
    <t>05001-0023</t>
  </si>
  <si>
    <t>Precor</t>
  </si>
  <si>
    <t>EFX 835</t>
  </si>
  <si>
    <t>ATYAK08160040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</si>
</sst>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43D3-4AB4-4D2E-8D81-F92BF33899C4}">
  <dimension ref="A1:R3"/>
  <sheetViews>
    <sheetView tabSelected="1" topLeftCell="D1" workbookViewId="0">
      <selection activeCell="I16" sqref="I16"/>
    </sheetView>
  </sheetViews>
  <sheetFormatPr defaultRowHeight="14.5" x14ac:dyDescent="0.35"/>
  <cols>
    <col min="1" max="1" width="6.08984375" bestFit="1" customWidth="1"/>
    <col min="2" max="2" width="10.36328125" bestFit="1" customWidth="1"/>
    <col min="3" max="3" width="17.81640625" customWidth="1"/>
    <col min="4" max="4" width="14.81640625" bestFit="1" customWidth="1"/>
    <col min="5" max="5" width="10.453125" bestFit="1" customWidth="1"/>
    <col min="6" max="6" width="6.36328125" bestFit="1" customWidth="1"/>
    <col min="7" max="7" width="21.26953125" bestFit="1" customWidth="1"/>
    <col min="8" max="8" width="13.90625" bestFit="1" customWidth="1"/>
    <col min="9" max="9" width="15.90625" bestFit="1" customWidth="1"/>
    <col min="10" max="10" width="10.453125" bestFit="1" customWidth="1"/>
    <col min="11" max="11" width="12.81640625" bestFit="1" customWidth="1"/>
    <col min="12" max="12" width="9.90625" bestFit="1" customWidth="1"/>
    <col min="13" max="13" width="15.6328125" bestFit="1" customWidth="1"/>
    <col min="14" max="14" width="6.81640625" bestFit="1" customWidth="1"/>
    <col min="15" max="15" width="16.7265625" hidden="1" customWidth="1"/>
    <col min="16" max="16" width="0" hidden="1" customWidth="1"/>
  </cols>
  <sheetData>
    <row r="1" spans="1:18" ht="29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8" t="s">
        <v>15</v>
      </c>
      <c r="Q1" s="11" t="s">
        <v>16</v>
      </c>
      <c r="R1" s="11" t="s">
        <v>17</v>
      </c>
    </row>
    <row r="2" spans="1:18" x14ac:dyDescent="0.35">
      <c r="A2" s="1" t="s">
        <v>18</v>
      </c>
      <c r="B2" t="s">
        <v>19</v>
      </c>
      <c r="C2" s="1" t="s">
        <v>20</v>
      </c>
      <c r="D2" s="1" t="s">
        <v>21</v>
      </c>
      <c r="E2" t="s">
        <v>22</v>
      </c>
      <c r="F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2" t="s">
        <v>27</v>
      </c>
      <c r="L2" s="1" t="s">
        <v>28</v>
      </c>
      <c r="M2" s="3">
        <v>43647</v>
      </c>
      <c r="N2" s="4">
        <f t="shared" ref="N2:N3" ca="1" si="0">(TODAY()-M2)/365</f>
        <v>4.7232876712328764</v>
      </c>
      <c r="O2" s="2"/>
      <c r="P2" s="2"/>
      <c r="Q2" s="5">
        <v>619.85</v>
      </c>
      <c r="R2" s="5">
        <f t="shared" ref="R2" ca="1" si="1">Q2/12*(12-N2)</f>
        <v>375.87251141552514</v>
      </c>
    </row>
    <row r="3" spans="1:18" x14ac:dyDescent="0.35">
      <c r="A3" s="1" t="s">
        <v>18</v>
      </c>
      <c r="B3" t="s">
        <v>19</v>
      </c>
      <c r="C3" t="s">
        <v>20</v>
      </c>
      <c r="D3" t="s">
        <v>29</v>
      </c>
      <c r="E3" s="1" t="s">
        <v>30</v>
      </c>
      <c r="F3" t="s">
        <v>31</v>
      </c>
      <c r="G3" s="1" t="s">
        <v>29</v>
      </c>
      <c r="H3" s="1" t="s">
        <v>32</v>
      </c>
      <c r="I3" s="1" t="s">
        <v>33</v>
      </c>
      <c r="J3" s="2" t="s">
        <v>27</v>
      </c>
      <c r="K3" s="2" t="s">
        <v>27</v>
      </c>
      <c r="L3" s="1" t="s">
        <v>28</v>
      </c>
      <c r="M3" s="3">
        <v>42675</v>
      </c>
      <c r="N3" s="6">
        <f t="shared" ca="1" si="0"/>
        <v>7.3863013698630136</v>
      </c>
      <c r="O3" s="2"/>
      <c r="P3" s="2"/>
      <c r="Q3" s="5">
        <v>3659.81</v>
      </c>
      <c r="R3" s="5">
        <f t="shared" ref="R3" ca="1" si="2">Q3/7*(7-N3)</f>
        <v>-201.96994520547941</v>
      </c>
    </row>
  </sheetData>
  <pageMargins left="0.2" right="0.2" top="0.75" bottom="0.75" header="0.3" footer="0.3"/>
  <pageSetup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074a79b19837cf314783e01a452153f9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b76c67ee27d5dd1973878e0b1d9fdf18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EF731A82-4F4C-4821-8DB6-CDF52F1C651A}"/>
</file>

<file path=customXml/itemProps2.xml><?xml version="1.0" encoding="utf-8"?>
<ds:datastoreItem xmlns:ds="http://schemas.openxmlformats.org/officeDocument/2006/customXml" ds:itemID="{FDC0AAB6-9E2A-4EFA-B195-B56C9036ABC6}"/>
</file>

<file path=customXml/itemProps3.xml><?xml version="1.0" encoding="utf-8"?>
<ds:datastoreItem xmlns:ds="http://schemas.openxmlformats.org/officeDocument/2006/customXml" ds:itemID="{84425BB5-8B94-42CF-8DB3-50DD2F7870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Webber</dc:creator>
  <cp:lastModifiedBy>Sue Hamilton</cp:lastModifiedBy>
  <dcterms:created xsi:type="dcterms:W3CDTF">2023-08-23T13:48:29Z</dcterms:created>
  <dcterms:modified xsi:type="dcterms:W3CDTF">2024-03-20T20:58:41Z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