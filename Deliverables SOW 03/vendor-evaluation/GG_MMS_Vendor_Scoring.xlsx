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Scores" sheetId="1" state="visible" r:id="rId1"/>
    <sheet xmlns:r="http://schemas.openxmlformats.org/officeDocument/2006/relationships" name="Category Scores" sheetId="2" state="visible" r:id="rId2"/>
    <sheet xmlns:r="http://schemas.openxmlformats.org/officeDocument/2006/relationships"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C2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14" customWidth="1" min="4" max="4"/>
    <col width="44" customWidth="1" min="5" max="5"/>
    <col width="11" customWidth="1" min="6" max="6"/>
    <col width="11" customWidth="1" min="7" max="7"/>
    <col width="9" customWidth="1" min="8" max="8"/>
    <col width="13" customWidth="1" min="9" max="9"/>
  </cols>
  <sheetData>
    <row r="1">
      <c r="A1" s="1" t="inlineStr">
        <is>
          <t>Vendor</t>
        </is>
      </c>
      <c r="B1" s="1" t="inlineStr">
        <is>
          <t>CategoryKey</t>
        </is>
      </c>
      <c r="C1" s="1" t="inlineStr">
        <is>
          <t>Category</t>
        </is>
      </c>
      <c r="D1" s="1" t="inlineStr">
        <is>
          <t>CategoryWeight</t>
        </is>
      </c>
      <c r="E1" s="1" t="inlineStr">
        <is>
          <t>Item</t>
        </is>
      </c>
      <c r="F1" s="1" t="inlineStr">
        <is>
          <t>HighSignal</t>
        </is>
      </c>
      <c r="G1" s="1" t="inlineStr">
        <is>
          <t>ItemWeight</t>
        </is>
      </c>
      <c r="H1" s="1" t="inlineStr">
        <is>
          <t>Score</t>
        </is>
      </c>
      <c r="I1" s="1" t="inlineStr">
        <is>
          <t>Layer</t>
        </is>
      </c>
    </row>
    <row r="2">
      <c r="A2" t="inlineStr">
        <is>
          <t>Zenoti</t>
        </is>
      </c>
      <c r="B2" t="inlineStr">
        <is>
          <t>api_integration</t>
        </is>
      </c>
      <c r="C2" t="inlineStr">
        <is>
          <t>API &amp; Integration</t>
        </is>
      </c>
      <c r="D2" t="n">
        <v>0.25</v>
      </c>
      <c r="E2" t="inlineStr">
        <is>
          <t>API maturity &amp; coverage</t>
        </is>
      </c>
      <c r="F2" t="inlineStr">
        <is>
          <t>N</t>
        </is>
      </c>
      <c r="G2" t="n">
        <v>1</v>
      </c>
      <c r="H2" t="n">
        <v>5</v>
      </c>
      <c r="I2" t="inlineStr">
        <is>
          <t>rule</t>
        </is>
      </c>
    </row>
    <row r="3">
      <c r="A3" t="inlineStr">
        <is>
          <t>Zenoti</t>
        </is>
      </c>
      <c r="B3" t="inlineStr">
        <is>
          <t>core_features</t>
        </is>
      </c>
      <c r="C3" t="inlineStr">
        <is>
          <t>Core Features</t>
        </is>
      </c>
      <c r="D3" t="n">
        <v>0.15</v>
      </c>
      <c r="E3" t="inlineStr">
        <is>
          <t>Billing &amp; collections</t>
        </is>
      </c>
      <c r="F3" t="inlineStr">
        <is>
          <t>N</t>
        </is>
      </c>
      <c r="G3" t="n">
        <v>1</v>
      </c>
      <c r="H3" t="n">
        <v>4.8462</v>
      </c>
      <c r="I3" t="inlineStr">
        <is>
          <t>rule</t>
        </is>
      </c>
    </row>
    <row r="4">
      <c r="A4" t="inlineStr">
        <is>
          <t>Zenoti</t>
        </is>
      </c>
      <c r="B4" t="inlineStr">
        <is>
          <t>core_features</t>
        </is>
      </c>
      <c r="C4" t="inlineStr">
        <is>
          <t>Core Features</t>
        </is>
      </c>
      <c r="D4" t="n">
        <v>0.15</v>
      </c>
      <c r="E4" t="inlineStr">
        <is>
          <t>Check-in &amp; access control</t>
        </is>
      </c>
      <c r="F4" t="inlineStr">
        <is>
          <t>N</t>
        </is>
      </c>
      <c r="G4" t="n">
        <v>1</v>
      </c>
      <c r="H4" t="n">
        <v>5</v>
      </c>
      <c r="I4" t="inlineStr">
        <is>
          <t>rule</t>
        </is>
      </c>
    </row>
    <row r="5">
      <c r="A5" t="inlineStr">
        <is>
          <t>Zenoti</t>
        </is>
      </c>
      <c r="B5" t="inlineStr">
        <is>
          <t>core_features</t>
        </is>
      </c>
      <c r="C5" t="inlineStr">
        <is>
          <t>Core Features</t>
        </is>
      </c>
      <c r="D5" t="n">
        <v>0.15</v>
      </c>
      <c r="E5" t="inlineStr">
        <is>
          <t>Member communications</t>
        </is>
      </c>
      <c r="F5" t="inlineStr">
        <is>
          <t>N</t>
        </is>
      </c>
      <c r="G5" t="n">
        <v>1</v>
      </c>
      <c r="H5" t="n">
        <v>5</v>
      </c>
      <c r="I5" t="inlineStr">
        <is>
          <t>rule</t>
        </is>
      </c>
    </row>
    <row r="6">
      <c r="A6" t="inlineStr">
        <is>
          <t>Zenoti</t>
        </is>
      </c>
      <c r="B6" t="inlineStr">
        <is>
          <t>franchise_architecture</t>
        </is>
      </c>
      <c r="C6" t="inlineStr">
        <is>
          <t>Franchise Architecture</t>
        </is>
      </c>
      <c r="D6" t="n">
        <v>0.15</v>
      </c>
      <c r="E6" t="inlineStr">
        <is>
          <t>Corporate vs. franchisee controls</t>
        </is>
      </c>
      <c r="F6" t="inlineStr">
        <is>
          <t>N</t>
        </is>
      </c>
      <c r="G6" t="n">
        <v>1</v>
      </c>
      <c r="H6" t="n">
        <v>4.6765</v>
      </c>
      <c r="I6" t="inlineStr">
        <is>
          <t>rule</t>
        </is>
      </c>
    </row>
    <row r="7">
      <c r="A7" t="inlineStr">
        <is>
          <t>Zenoti</t>
        </is>
      </c>
      <c r="B7" t="inlineStr">
        <is>
          <t>core_features</t>
        </is>
      </c>
      <c r="C7" t="inlineStr">
        <is>
          <t>Core Features</t>
        </is>
      </c>
      <c r="D7" t="n">
        <v>0.15</v>
      </c>
      <c r="E7" t="inlineStr">
        <is>
          <t>CRM / lead management (workbook 5.9)</t>
        </is>
      </c>
      <c r="F7" t="inlineStr">
        <is>
          <t>N</t>
        </is>
      </c>
      <c r="G7" t="n">
        <v>1</v>
      </c>
      <c r="H7" t="n">
        <v>5</v>
      </c>
      <c r="I7" t="inlineStr">
        <is>
          <t>rule</t>
        </is>
      </c>
    </row>
    <row r="8">
      <c r="A8" t="inlineStr">
        <is>
          <t>Zenoti</t>
        </is>
      </c>
      <c r="B8" t="inlineStr">
        <is>
          <t>core_features</t>
        </is>
      </c>
      <c r="C8" t="inlineStr">
        <is>
          <t>Core Features</t>
        </is>
      </c>
      <c r="D8" t="n">
        <v>0.15</v>
      </c>
      <c r="E8" t="inlineStr">
        <is>
          <t>Member lifecycle</t>
        </is>
      </c>
      <c r="F8" t="inlineStr">
        <is>
          <t>N</t>
        </is>
      </c>
      <c r="G8" t="n">
        <v>1</v>
      </c>
      <c r="H8" t="n">
        <v>4.9048</v>
      </c>
      <c r="I8" t="inlineStr">
        <is>
          <t>rule</t>
        </is>
      </c>
    </row>
    <row r="9">
      <c r="A9" t="inlineStr">
        <is>
          <t>Zenoti</t>
        </is>
      </c>
      <c r="B9" t="inlineStr">
        <is>
          <t>innovation_roadmap</t>
        </is>
      </c>
      <c r="C9" t="inlineStr">
        <is>
          <t>Innovation &amp; Roadmap</t>
        </is>
      </c>
      <c r="D9" t="n">
        <v>0.05</v>
      </c>
      <c r="E9" t="inlineStr">
        <is>
          <t>Mobile-first (workbook 5.10)</t>
        </is>
      </c>
      <c r="F9" t="inlineStr">
        <is>
          <t>N</t>
        </is>
      </c>
      <c r="G9" t="n">
        <v>1</v>
      </c>
      <c r="H9" t="n">
        <v>4.8667</v>
      </c>
      <c r="I9" t="inlineStr">
        <is>
          <t>rule</t>
        </is>
      </c>
    </row>
    <row r="10">
      <c r="A10" t="inlineStr">
        <is>
          <t>Zenoti</t>
        </is>
      </c>
      <c r="B10" t="inlineStr">
        <is>
          <t>core_features</t>
        </is>
      </c>
      <c r="C10" t="inlineStr">
        <is>
          <t>Core Features</t>
        </is>
      </c>
      <c r="D10" t="n">
        <v>0.15</v>
      </c>
      <c r="E10" t="inlineStr">
        <is>
          <t>Operational reporting</t>
        </is>
      </c>
      <c r="F10" t="inlineStr">
        <is>
          <t>N</t>
        </is>
      </c>
      <c r="G10" t="n">
        <v>1</v>
      </c>
      <c r="H10" t="n">
        <v>5</v>
      </c>
      <c r="I10" t="inlineStr">
        <is>
          <t>rule</t>
        </is>
      </c>
    </row>
    <row r="11">
      <c r="A11" t="inlineStr">
        <is>
          <t>Zenoti</t>
        </is>
      </c>
      <c r="B11" t="inlineStr">
        <is>
          <t>core_features</t>
        </is>
      </c>
      <c r="C11" t="inlineStr">
        <is>
          <t>Core Features</t>
        </is>
      </c>
      <c r="D11" t="n">
        <v>0.15</v>
      </c>
      <c r="E11" t="inlineStr">
        <is>
          <t>Plans &amp; pricing</t>
        </is>
      </c>
      <c r="F11" t="inlineStr">
        <is>
          <t>N</t>
        </is>
      </c>
      <c r="G11" t="n">
        <v>1</v>
      </c>
      <c r="H11" t="n">
        <v>5</v>
      </c>
      <c r="I11" t="inlineStr">
        <is>
          <t>rule</t>
        </is>
      </c>
    </row>
    <row r="12">
      <c r="A12" t="inlineStr">
        <is>
          <t>Zenoti</t>
        </is>
      </c>
      <c r="B12" t="inlineStr">
        <is>
          <t>core_features</t>
        </is>
      </c>
      <c r="C12" t="inlineStr">
        <is>
          <t>Core Features</t>
        </is>
      </c>
      <c r="D12" t="n">
        <v>0.15</v>
      </c>
      <c r="E12" t="inlineStr">
        <is>
          <t>POS / retail</t>
        </is>
      </c>
      <c r="F12" t="inlineStr">
        <is>
          <t>N</t>
        </is>
      </c>
      <c r="G12" t="n">
        <v>1</v>
      </c>
      <c r="H12" t="n">
        <v>5</v>
      </c>
      <c r="I12" t="inlineStr">
        <is>
          <t>rule</t>
        </is>
      </c>
    </row>
    <row r="13">
      <c r="A13" t="inlineStr">
        <is>
          <t>Zenoti</t>
        </is>
      </c>
      <c r="B13" t="inlineStr">
        <is>
          <t>core_features</t>
        </is>
      </c>
      <c r="C13" t="inlineStr">
        <is>
          <t>Core Features</t>
        </is>
      </c>
      <c r="D13" t="n">
        <v>0.15</v>
      </c>
      <c r="E13" t="inlineStr">
        <is>
          <t>Scheduling (workbook 5.14)</t>
        </is>
      </c>
      <c r="F13" t="inlineStr">
        <is>
          <t>N</t>
        </is>
      </c>
      <c r="G13" t="n">
        <v>1</v>
      </c>
      <c r="H13" t="n">
        <v>4.5349</v>
      </c>
      <c r="I13" t="inlineStr">
        <is>
          <t>rule</t>
        </is>
      </c>
    </row>
    <row r="14">
      <c r="A14" t="inlineStr">
        <is>
          <t>Zenoti</t>
        </is>
      </c>
      <c r="B14" t="inlineStr">
        <is>
          <t>core_features</t>
        </is>
      </c>
      <c r="C14" t="inlineStr">
        <is>
          <t>Core Features</t>
        </is>
      </c>
      <c r="D14" t="n">
        <v>0.15</v>
      </c>
      <c r="E14" t="inlineStr">
        <is>
          <t>Travel pass</t>
        </is>
      </c>
      <c r="F14" t="inlineStr">
        <is>
          <t>N</t>
        </is>
      </c>
      <c r="G14" t="n">
        <v>1</v>
      </c>
      <c r="H14" t="n">
        <v>5</v>
      </c>
      <c r="I14" t="inlineStr">
        <is>
          <t>rule</t>
        </is>
      </c>
    </row>
    <row r="15">
      <c r="A15" t="inlineStr">
        <is>
          <t>Zenoti</t>
        </is>
      </c>
      <c r="B15" t="inlineStr">
        <is>
          <t>core_features</t>
        </is>
      </c>
      <c r="C15" t="inlineStr">
        <is>
          <t>Core Features</t>
        </is>
      </c>
      <c r="D15" t="n">
        <v>0.15</v>
      </c>
      <c r="E15" t="inlineStr">
        <is>
          <t>Workforce / personal training (workbook 5.13)</t>
        </is>
      </c>
      <c r="F15" t="inlineStr">
        <is>
          <t>N</t>
        </is>
      </c>
      <c r="G15" t="n">
        <v>1</v>
      </c>
      <c r="H15" t="n">
        <v>4.3548</v>
      </c>
      <c r="I15" t="inlineStr">
        <is>
          <t>rule</t>
        </is>
      </c>
    </row>
    <row r="16">
      <c r="A16" t="inlineStr">
        <is>
          <t>Fliip</t>
        </is>
      </c>
      <c r="B16" t="inlineStr">
        <is>
          <t>api_integration</t>
        </is>
      </c>
      <c r="C16" t="inlineStr">
        <is>
          <t>API &amp; Integration</t>
        </is>
      </c>
      <c r="D16" t="n">
        <v>0.25</v>
      </c>
      <c r="E16" t="inlineStr">
        <is>
          <t>API maturity &amp; coverage</t>
        </is>
      </c>
      <c r="F16" t="inlineStr">
        <is>
          <t>N</t>
        </is>
      </c>
      <c r="G16" t="n">
        <v>1</v>
      </c>
      <c r="H16" t="n">
        <v>5</v>
      </c>
      <c r="I16" t="inlineStr">
        <is>
          <t>rule</t>
        </is>
      </c>
    </row>
    <row r="17">
      <c r="A17" t="inlineStr">
        <is>
          <t>Fliip</t>
        </is>
      </c>
      <c r="B17" t="inlineStr">
        <is>
          <t>core_features</t>
        </is>
      </c>
      <c r="C17" t="inlineStr">
        <is>
          <t>Core Features</t>
        </is>
      </c>
      <c r="D17" t="n">
        <v>0.15</v>
      </c>
      <c r="E17" t="inlineStr">
        <is>
          <t>Billing &amp; collections</t>
        </is>
      </c>
      <c r="F17" t="inlineStr">
        <is>
          <t>N</t>
        </is>
      </c>
      <c r="G17" t="n">
        <v>1</v>
      </c>
      <c r="H17" t="n">
        <v>4.5385</v>
      </c>
      <c r="I17" t="inlineStr">
        <is>
          <t>rule</t>
        </is>
      </c>
    </row>
    <row r="18">
      <c r="A18" t="inlineStr">
        <is>
          <t>Fliip</t>
        </is>
      </c>
      <c r="B18" t="inlineStr">
        <is>
          <t>core_features</t>
        </is>
      </c>
      <c r="C18" t="inlineStr">
        <is>
          <t>Core Features</t>
        </is>
      </c>
      <c r="D18" t="n">
        <v>0.15</v>
      </c>
      <c r="E18" t="inlineStr">
        <is>
          <t>Check-in &amp; access control</t>
        </is>
      </c>
      <c r="F18" t="inlineStr">
        <is>
          <t>N</t>
        </is>
      </c>
      <c r="G18" t="n">
        <v>1</v>
      </c>
      <c r="H18" t="n">
        <v>4.8</v>
      </c>
      <c r="I18" t="inlineStr">
        <is>
          <t>rule</t>
        </is>
      </c>
    </row>
    <row r="19">
      <c r="A19" t="inlineStr">
        <is>
          <t>Fliip</t>
        </is>
      </c>
      <c r="B19" t="inlineStr">
        <is>
          <t>core_features</t>
        </is>
      </c>
      <c r="C19" t="inlineStr">
        <is>
          <t>Core Features</t>
        </is>
      </c>
      <c r="D19" t="n">
        <v>0.15</v>
      </c>
      <c r="E19" t="inlineStr">
        <is>
          <t>Member communications</t>
        </is>
      </c>
      <c r="F19" t="inlineStr">
        <is>
          <t>N</t>
        </is>
      </c>
      <c r="G19" t="n">
        <v>1</v>
      </c>
      <c r="H19" t="n">
        <v>5</v>
      </c>
      <c r="I19" t="inlineStr">
        <is>
          <t>rule</t>
        </is>
      </c>
    </row>
    <row r="20">
      <c r="A20" t="inlineStr">
        <is>
          <t>Fliip</t>
        </is>
      </c>
      <c r="B20" t="inlineStr">
        <is>
          <t>franchise_architecture</t>
        </is>
      </c>
      <c r="C20" t="inlineStr">
        <is>
          <t>Franchise Architecture</t>
        </is>
      </c>
      <c r="D20" t="n">
        <v>0.15</v>
      </c>
      <c r="E20" t="inlineStr">
        <is>
          <t>Corporate vs. franchisee controls</t>
        </is>
      </c>
      <c r="F20" t="inlineStr">
        <is>
          <t>N</t>
        </is>
      </c>
      <c r="G20" t="n">
        <v>1</v>
      </c>
      <c r="H20" t="n">
        <v>4.1765</v>
      </c>
      <c r="I20" t="inlineStr">
        <is>
          <t>rule</t>
        </is>
      </c>
    </row>
    <row r="21">
      <c r="A21" t="inlineStr">
        <is>
          <t>Fliip</t>
        </is>
      </c>
      <c r="B21" t="inlineStr">
        <is>
          <t>core_features</t>
        </is>
      </c>
      <c r="C21" t="inlineStr">
        <is>
          <t>Core Features</t>
        </is>
      </c>
      <c r="D21" t="n">
        <v>0.15</v>
      </c>
      <c r="E21" t="inlineStr">
        <is>
          <t>CRM / lead management (workbook 5.9)</t>
        </is>
      </c>
      <c r="F21" t="inlineStr">
        <is>
          <t>N</t>
        </is>
      </c>
      <c r="G21" t="n">
        <v>1</v>
      </c>
      <c r="H21" t="n">
        <v>3.75</v>
      </c>
      <c r="I21" t="inlineStr">
        <is>
          <t>rule</t>
        </is>
      </c>
    </row>
    <row r="22">
      <c r="A22" t="inlineStr">
        <is>
          <t>Fliip</t>
        </is>
      </c>
      <c r="B22" t="inlineStr">
        <is>
          <t>core_features</t>
        </is>
      </c>
      <c r="C22" t="inlineStr">
        <is>
          <t>Core Features</t>
        </is>
      </c>
      <c r="D22" t="n">
        <v>0.15</v>
      </c>
      <c r="E22" t="inlineStr">
        <is>
          <t>Member lifecycle</t>
        </is>
      </c>
      <c r="F22" t="inlineStr">
        <is>
          <t>N</t>
        </is>
      </c>
      <c r="G22" t="n">
        <v>1</v>
      </c>
      <c r="H22" t="n">
        <v>4.8571</v>
      </c>
      <c r="I22" t="inlineStr">
        <is>
          <t>rule</t>
        </is>
      </c>
    </row>
    <row r="23">
      <c r="A23" t="inlineStr">
        <is>
          <t>Fliip</t>
        </is>
      </c>
      <c r="B23" t="inlineStr">
        <is>
          <t>innovation_roadmap</t>
        </is>
      </c>
      <c r="C23" t="inlineStr">
        <is>
          <t>Innovation &amp; Roadmap</t>
        </is>
      </c>
      <c r="D23" t="n">
        <v>0.05</v>
      </c>
      <c r="E23" t="inlineStr">
        <is>
          <t>Mobile-first (workbook 5.10)</t>
        </is>
      </c>
      <c r="F23" t="inlineStr">
        <is>
          <t>N</t>
        </is>
      </c>
      <c r="G23" t="n">
        <v>1</v>
      </c>
      <c r="H23" t="n">
        <v>3.7333</v>
      </c>
      <c r="I23" t="inlineStr">
        <is>
          <t>rule</t>
        </is>
      </c>
    </row>
    <row r="24">
      <c r="A24" t="inlineStr">
        <is>
          <t>Fliip</t>
        </is>
      </c>
      <c r="B24" t="inlineStr">
        <is>
          <t>core_features</t>
        </is>
      </c>
      <c r="C24" t="inlineStr">
        <is>
          <t>Core Features</t>
        </is>
      </c>
      <c r="D24" t="n">
        <v>0.15</v>
      </c>
      <c r="E24" t="inlineStr">
        <is>
          <t>Operational reporting</t>
        </is>
      </c>
      <c r="F24" t="inlineStr">
        <is>
          <t>N</t>
        </is>
      </c>
      <c r="G24" t="n">
        <v>1</v>
      </c>
      <c r="H24" t="n">
        <v>5</v>
      </c>
      <c r="I24" t="inlineStr">
        <is>
          <t>rule</t>
        </is>
      </c>
    </row>
    <row r="25">
      <c r="A25" t="inlineStr">
        <is>
          <t>Fliip</t>
        </is>
      </c>
      <c r="B25" t="inlineStr">
        <is>
          <t>core_features</t>
        </is>
      </c>
      <c r="C25" t="inlineStr">
        <is>
          <t>Core Features</t>
        </is>
      </c>
      <c r="D25" t="n">
        <v>0.15</v>
      </c>
      <c r="E25" t="inlineStr">
        <is>
          <t>Plans &amp; pricing</t>
        </is>
      </c>
      <c r="F25" t="inlineStr">
        <is>
          <t>N</t>
        </is>
      </c>
      <c r="G25" t="n">
        <v>1</v>
      </c>
      <c r="H25" t="n">
        <v>4.5556</v>
      </c>
      <c r="I25" t="inlineStr">
        <is>
          <t>rule</t>
        </is>
      </c>
    </row>
    <row r="26">
      <c r="A26" t="inlineStr">
        <is>
          <t>Fliip</t>
        </is>
      </c>
      <c r="B26" t="inlineStr">
        <is>
          <t>core_features</t>
        </is>
      </c>
      <c r="C26" t="inlineStr">
        <is>
          <t>Core Features</t>
        </is>
      </c>
      <c r="D26" t="n">
        <v>0.15</v>
      </c>
      <c r="E26" t="inlineStr">
        <is>
          <t>POS / retail</t>
        </is>
      </c>
      <c r="F26" t="inlineStr">
        <is>
          <t>N</t>
        </is>
      </c>
      <c r="G26" t="n">
        <v>1</v>
      </c>
      <c r="H26" t="n">
        <v>5</v>
      </c>
      <c r="I26" t="inlineStr">
        <is>
          <t>rule</t>
        </is>
      </c>
    </row>
    <row r="27">
      <c r="A27" t="inlineStr">
        <is>
          <t>Fliip</t>
        </is>
      </c>
      <c r="B27" t="inlineStr">
        <is>
          <t>core_features</t>
        </is>
      </c>
      <c r="C27" t="inlineStr">
        <is>
          <t>Core Features</t>
        </is>
      </c>
      <c r="D27" t="n">
        <v>0.15</v>
      </c>
      <c r="E27" t="inlineStr">
        <is>
          <t>Scheduling (workbook 5.14)</t>
        </is>
      </c>
      <c r="F27" t="inlineStr">
        <is>
          <t>N</t>
        </is>
      </c>
      <c r="G27" t="n">
        <v>1</v>
      </c>
      <c r="H27" t="n">
        <v>4.3953</v>
      </c>
      <c r="I27" t="inlineStr">
        <is>
          <t>rule</t>
        </is>
      </c>
    </row>
    <row r="28">
      <c r="A28" t="inlineStr">
        <is>
          <t>Fliip</t>
        </is>
      </c>
      <c r="B28" t="inlineStr">
        <is>
          <t>core_features</t>
        </is>
      </c>
      <c r="C28" t="inlineStr">
        <is>
          <t>Core Features</t>
        </is>
      </c>
      <c r="D28" t="n">
        <v>0.15</v>
      </c>
      <c r="E28" t="inlineStr">
        <is>
          <t>Travel pass</t>
        </is>
      </c>
      <c r="F28" t="inlineStr">
        <is>
          <t>N</t>
        </is>
      </c>
      <c r="G28" t="n">
        <v>1</v>
      </c>
      <c r="H28" t="n">
        <v>5</v>
      </c>
      <c r="I28" t="inlineStr">
        <is>
          <t>rule</t>
        </is>
      </c>
    </row>
    <row r="29">
      <c r="A29" t="inlineStr">
        <is>
          <t>Fliip</t>
        </is>
      </c>
      <c r="B29" t="inlineStr">
        <is>
          <t>core_features</t>
        </is>
      </c>
      <c r="C29" t="inlineStr">
        <is>
          <t>Core Features</t>
        </is>
      </c>
      <c r="D29" t="n">
        <v>0.15</v>
      </c>
      <c r="E29" t="inlineStr">
        <is>
          <t>Workforce / personal training (workbook 5.13)</t>
        </is>
      </c>
      <c r="F29" t="inlineStr">
        <is>
          <t>N</t>
        </is>
      </c>
      <c r="G29" t="n">
        <v>1</v>
      </c>
      <c r="H29" t="n">
        <v>4.4839</v>
      </c>
      <c r="I29" t="inlineStr">
        <is>
          <t>rule</t>
        </is>
      </c>
    </row>
    <row r="30">
      <c r="A30" t="inlineStr">
        <is>
          <t>Sport Alliance</t>
        </is>
      </c>
      <c r="B30" t="inlineStr">
        <is>
          <t>api_integration</t>
        </is>
      </c>
      <c r="C30" t="inlineStr">
        <is>
          <t>API &amp; Integration</t>
        </is>
      </c>
      <c r="D30" t="n">
        <v>0.25</v>
      </c>
      <c r="E30" t="inlineStr">
        <is>
          <t>API maturity &amp; coverage</t>
        </is>
      </c>
      <c r="F30" t="inlineStr">
        <is>
          <t>N</t>
        </is>
      </c>
      <c r="G30" t="n">
        <v>1</v>
      </c>
      <c r="H30" t="n">
        <v>5</v>
      </c>
      <c r="I30" t="inlineStr">
        <is>
          <t>rule</t>
        </is>
      </c>
    </row>
    <row r="31">
      <c r="A31" t="inlineStr">
        <is>
          <t>Sport Alliance</t>
        </is>
      </c>
      <c r="B31" t="inlineStr">
        <is>
          <t>core_features</t>
        </is>
      </c>
      <c r="C31" t="inlineStr">
        <is>
          <t>Core Features</t>
        </is>
      </c>
      <c r="D31" t="n">
        <v>0.15</v>
      </c>
      <c r="E31" t="inlineStr">
        <is>
          <t>Billing &amp; collections</t>
        </is>
      </c>
      <c r="F31" t="inlineStr">
        <is>
          <t>N</t>
        </is>
      </c>
      <c r="G31" t="n">
        <v>1</v>
      </c>
      <c r="H31" t="n">
        <v>4.7115</v>
      </c>
      <c r="I31" t="inlineStr">
        <is>
          <t>rule</t>
        </is>
      </c>
    </row>
    <row r="32">
      <c r="A32" t="inlineStr">
        <is>
          <t>Sport Alliance</t>
        </is>
      </c>
      <c r="B32" t="inlineStr">
        <is>
          <t>core_features</t>
        </is>
      </c>
      <c r="C32" t="inlineStr">
        <is>
          <t>Core Features</t>
        </is>
      </c>
      <c r="D32" t="n">
        <v>0.15</v>
      </c>
      <c r="E32" t="inlineStr">
        <is>
          <t>Check-in &amp; access control</t>
        </is>
      </c>
      <c r="F32" t="inlineStr">
        <is>
          <t>N</t>
        </is>
      </c>
      <c r="G32" t="n">
        <v>1</v>
      </c>
      <c r="H32" t="n">
        <v>5</v>
      </c>
      <c r="I32" t="inlineStr">
        <is>
          <t>rule</t>
        </is>
      </c>
    </row>
    <row r="33">
      <c r="A33" t="inlineStr">
        <is>
          <t>Sport Alliance</t>
        </is>
      </c>
      <c r="B33" t="inlineStr">
        <is>
          <t>core_features</t>
        </is>
      </c>
      <c r="C33" t="inlineStr">
        <is>
          <t>Core Features</t>
        </is>
      </c>
      <c r="D33" t="n">
        <v>0.15</v>
      </c>
      <c r="E33" t="inlineStr">
        <is>
          <t>Member communications</t>
        </is>
      </c>
      <c r="F33" t="inlineStr">
        <is>
          <t>N</t>
        </is>
      </c>
      <c r="G33" t="n">
        <v>1</v>
      </c>
      <c r="H33" t="n">
        <v>5</v>
      </c>
      <c r="I33" t="inlineStr">
        <is>
          <t>rule</t>
        </is>
      </c>
    </row>
    <row r="34">
      <c r="A34" t="inlineStr">
        <is>
          <t>Sport Alliance</t>
        </is>
      </c>
      <c r="B34" t="inlineStr">
        <is>
          <t>franchise_architecture</t>
        </is>
      </c>
      <c r="C34" t="inlineStr">
        <is>
          <t>Franchise Architecture</t>
        </is>
      </c>
      <c r="D34" t="n">
        <v>0.15</v>
      </c>
      <c r="E34" t="inlineStr">
        <is>
          <t>Corporate vs. franchisee controls</t>
        </is>
      </c>
      <c r="F34" t="inlineStr">
        <is>
          <t>N</t>
        </is>
      </c>
      <c r="G34" t="n">
        <v>1</v>
      </c>
      <c r="H34" t="n">
        <v>3.5294</v>
      </c>
      <c r="I34" t="inlineStr">
        <is>
          <t>rule</t>
        </is>
      </c>
    </row>
    <row r="35">
      <c r="A35" t="inlineStr">
        <is>
          <t>Sport Alliance</t>
        </is>
      </c>
      <c r="B35" t="inlineStr">
        <is>
          <t>core_features</t>
        </is>
      </c>
      <c r="C35" t="inlineStr">
        <is>
          <t>Core Features</t>
        </is>
      </c>
      <c r="D35" t="n">
        <v>0.15</v>
      </c>
      <c r="E35" t="inlineStr">
        <is>
          <t>CRM / lead management (workbook 5.9)</t>
        </is>
      </c>
      <c r="F35" t="inlineStr">
        <is>
          <t>N</t>
        </is>
      </c>
      <c r="G35" t="n">
        <v>1</v>
      </c>
      <c r="H35" t="n">
        <v>4.375</v>
      </c>
      <c r="I35" t="inlineStr">
        <is>
          <t>rule</t>
        </is>
      </c>
    </row>
    <row r="36">
      <c r="A36" t="inlineStr">
        <is>
          <t>Sport Alliance</t>
        </is>
      </c>
      <c r="B36" t="inlineStr">
        <is>
          <t>core_features</t>
        </is>
      </c>
      <c r="C36" t="inlineStr">
        <is>
          <t>Core Features</t>
        </is>
      </c>
      <c r="D36" t="n">
        <v>0.15</v>
      </c>
      <c r="E36" t="inlineStr">
        <is>
          <t>Member lifecycle</t>
        </is>
      </c>
      <c r="F36" t="inlineStr">
        <is>
          <t>N</t>
        </is>
      </c>
      <c r="G36" t="n">
        <v>1</v>
      </c>
      <c r="H36" t="n">
        <v>4.7143</v>
      </c>
      <c r="I36" t="inlineStr">
        <is>
          <t>rule</t>
        </is>
      </c>
    </row>
    <row r="37">
      <c r="A37" t="inlineStr">
        <is>
          <t>Sport Alliance</t>
        </is>
      </c>
      <c r="B37" t="inlineStr">
        <is>
          <t>innovation_roadmap</t>
        </is>
      </c>
      <c r="C37" t="inlineStr">
        <is>
          <t>Innovation &amp; Roadmap</t>
        </is>
      </c>
      <c r="D37" t="n">
        <v>0.05</v>
      </c>
      <c r="E37" t="inlineStr">
        <is>
          <t>Mobile-first (workbook 5.10)</t>
        </is>
      </c>
      <c r="F37" t="inlineStr">
        <is>
          <t>N</t>
        </is>
      </c>
      <c r="G37" t="n">
        <v>1</v>
      </c>
      <c r="H37" t="n">
        <v>3.5333</v>
      </c>
      <c r="I37" t="inlineStr">
        <is>
          <t>rule</t>
        </is>
      </c>
    </row>
    <row r="38">
      <c r="A38" t="inlineStr">
        <is>
          <t>Sport Alliance</t>
        </is>
      </c>
      <c r="B38" t="inlineStr">
        <is>
          <t>core_features</t>
        </is>
      </c>
      <c r="C38" t="inlineStr">
        <is>
          <t>Core Features</t>
        </is>
      </c>
      <c r="D38" t="n">
        <v>0.15</v>
      </c>
      <c r="E38" t="inlineStr">
        <is>
          <t>Operational reporting</t>
        </is>
      </c>
      <c r="F38" t="inlineStr">
        <is>
          <t>N</t>
        </is>
      </c>
      <c r="G38" t="n">
        <v>1</v>
      </c>
      <c r="H38" t="n">
        <v>4.9</v>
      </c>
      <c r="I38" t="inlineStr">
        <is>
          <t>rule</t>
        </is>
      </c>
    </row>
    <row r="39">
      <c r="A39" t="inlineStr">
        <is>
          <t>Sport Alliance</t>
        </is>
      </c>
      <c r="B39" t="inlineStr">
        <is>
          <t>core_features</t>
        </is>
      </c>
      <c r="C39" t="inlineStr">
        <is>
          <t>Core Features</t>
        </is>
      </c>
      <c r="D39" t="n">
        <v>0.15</v>
      </c>
      <c r="E39" t="inlineStr">
        <is>
          <t>Plans &amp; pricing</t>
        </is>
      </c>
      <c r="F39" t="inlineStr">
        <is>
          <t>N</t>
        </is>
      </c>
      <c r="G39" t="n">
        <v>1</v>
      </c>
      <c r="H39" t="n">
        <v>4.3333</v>
      </c>
      <c r="I39" t="inlineStr">
        <is>
          <t>rule</t>
        </is>
      </c>
    </row>
    <row r="40">
      <c r="A40" t="inlineStr">
        <is>
          <t>Sport Alliance</t>
        </is>
      </c>
      <c r="B40" t="inlineStr">
        <is>
          <t>core_features</t>
        </is>
      </c>
      <c r="C40" t="inlineStr">
        <is>
          <t>Core Features</t>
        </is>
      </c>
      <c r="D40" t="n">
        <v>0.15</v>
      </c>
      <c r="E40" t="inlineStr">
        <is>
          <t>POS / retail</t>
        </is>
      </c>
      <c r="F40" t="inlineStr">
        <is>
          <t>N</t>
        </is>
      </c>
      <c r="G40" t="n">
        <v>1</v>
      </c>
      <c r="H40" t="n">
        <v>4.6667</v>
      </c>
      <c r="I40" t="inlineStr">
        <is>
          <t>rule</t>
        </is>
      </c>
    </row>
    <row r="41">
      <c r="A41" t="inlineStr">
        <is>
          <t>Sport Alliance</t>
        </is>
      </c>
      <c r="B41" t="inlineStr">
        <is>
          <t>core_features</t>
        </is>
      </c>
      <c r="C41" t="inlineStr">
        <is>
          <t>Core Features</t>
        </is>
      </c>
      <c r="D41" t="n">
        <v>0.15</v>
      </c>
      <c r="E41" t="inlineStr">
        <is>
          <t>Scheduling (workbook 5.14)</t>
        </is>
      </c>
      <c r="F41" t="inlineStr">
        <is>
          <t>N</t>
        </is>
      </c>
      <c r="G41" t="n">
        <v>1</v>
      </c>
      <c r="H41" t="n">
        <v>3.5349</v>
      </c>
      <c r="I41" t="inlineStr">
        <is>
          <t>rule</t>
        </is>
      </c>
    </row>
    <row r="42">
      <c r="A42" t="inlineStr">
        <is>
          <t>Sport Alliance</t>
        </is>
      </c>
      <c r="B42" t="inlineStr">
        <is>
          <t>core_features</t>
        </is>
      </c>
      <c r="C42" t="inlineStr">
        <is>
          <t>Core Features</t>
        </is>
      </c>
      <c r="D42" t="n">
        <v>0.15</v>
      </c>
      <c r="E42" t="inlineStr">
        <is>
          <t>Travel pass</t>
        </is>
      </c>
      <c r="F42" t="inlineStr">
        <is>
          <t>N</t>
        </is>
      </c>
      <c r="G42" t="n">
        <v>1</v>
      </c>
      <c r="H42" t="n">
        <v>4.8333</v>
      </c>
      <c r="I42" t="inlineStr">
        <is>
          <t>rule</t>
        </is>
      </c>
    </row>
    <row r="43">
      <c r="A43" t="inlineStr">
        <is>
          <t>Sport Alliance</t>
        </is>
      </c>
      <c r="B43" t="inlineStr">
        <is>
          <t>core_features</t>
        </is>
      </c>
      <c r="C43" t="inlineStr">
        <is>
          <t>Core Features</t>
        </is>
      </c>
      <c r="D43" t="n">
        <v>0.15</v>
      </c>
      <c r="E43" t="inlineStr">
        <is>
          <t>Workforce / personal training (workbook 5.13)</t>
        </is>
      </c>
      <c r="F43" t="inlineStr">
        <is>
          <t>N</t>
        </is>
      </c>
      <c r="G43" t="n">
        <v>1</v>
      </c>
      <c r="H43" t="n">
        <v>3.5806</v>
      </c>
      <c r="I43" t="inlineStr">
        <is>
          <t>rule</t>
        </is>
      </c>
    </row>
    <row r="44">
      <c r="A44" t="inlineStr">
        <is>
          <t>Hapana</t>
        </is>
      </c>
      <c r="B44" t="inlineStr">
        <is>
          <t>api_integration</t>
        </is>
      </c>
      <c r="C44" t="inlineStr">
        <is>
          <t>API &amp; Integration</t>
        </is>
      </c>
      <c r="D44" t="n">
        <v>0.25</v>
      </c>
      <c r="E44" t="inlineStr">
        <is>
          <t>API maturity &amp; coverage</t>
        </is>
      </c>
      <c r="F44" t="inlineStr">
        <is>
          <t>N</t>
        </is>
      </c>
      <c r="G44" t="n">
        <v>1</v>
      </c>
      <c r="H44" t="n">
        <v>4.75</v>
      </c>
      <c r="I44" t="inlineStr">
        <is>
          <t>rule</t>
        </is>
      </c>
    </row>
    <row r="45">
      <c r="A45" t="inlineStr">
        <is>
          <t>Hapana</t>
        </is>
      </c>
      <c r="B45" t="inlineStr">
        <is>
          <t>core_features</t>
        </is>
      </c>
      <c r="C45" t="inlineStr">
        <is>
          <t>Core Features</t>
        </is>
      </c>
      <c r="D45" t="n">
        <v>0.15</v>
      </c>
      <c r="E45" t="inlineStr">
        <is>
          <t>Billing &amp; collections</t>
        </is>
      </c>
      <c r="F45" t="inlineStr">
        <is>
          <t>N</t>
        </is>
      </c>
      <c r="G45" t="n">
        <v>1</v>
      </c>
      <c r="H45" t="n">
        <v>4.2308</v>
      </c>
      <c r="I45" t="inlineStr">
        <is>
          <t>rule</t>
        </is>
      </c>
    </row>
    <row r="46">
      <c r="A46" t="inlineStr">
        <is>
          <t>Hapana</t>
        </is>
      </c>
      <c r="B46" t="inlineStr">
        <is>
          <t>core_features</t>
        </is>
      </c>
      <c r="C46" t="inlineStr">
        <is>
          <t>Core Features</t>
        </is>
      </c>
      <c r="D46" t="n">
        <v>0.15</v>
      </c>
      <c r="E46" t="inlineStr">
        <is>
          <t>Check-in &amp; access control</t>
        </is>
      </c>
      <c r="F46" t="inlineStr">
        <is>
          <t>N</t>
        </is>
      </c>
      <c r="G46" t="n">
        <v>1</v>
      </c>
      <c r="H46" t="n">
        <v>4.7</v>
      </c>
      <c r="I46" t="inlineStr">
        <is>
          <t>rule</t>
        </is>
      </c>
    </row>
    <row r="47">
      <c r="A47" t="inlineStr">
        <is>
          <t>Hapana</t>
        </is>
      </c>
      <c r="B47" t="inlineStr">
        <is>
          <t>core_features</t>
        </is>
      </c>
      <c r="C47" t="inlineStr">
        <is>
          <t>Core Features</t>
        </is>
      </c>
      <c r="D47" t="n">
        <v>0.15</v>
      </c>
      <c r="E47" t="inlineStr">
        <is>
          <t>Member communications</t>
        </is>
      </c>
      <c r="F47" t="inlineStr">
        <is>
          <t>N</t>
        </is>
      </c>
      <c r="G47" t="n">
        <v>1</v>
      </c>
      <c r="H47" t="n">
        <v>3.7143</v>
      </c>
      <c r="I47" t="inlineStr">
        <is>
          <t>rule</t>
        </is>
      </c>
    </row>
    <row r="48">
      <c r="A48" t="inlineStr">
        <is>
          <t>Hapana</t>
        </is>
      </c>
      <c r="B48" t="inlineStr">
        <is>
          <t>franchise_architecture</t>
        </is>
      </c>
      <c r="C48" t="inlineStr">
        <is>
          <t>Franchise Architecture</t>
        </is>
      </c>
      <c r="D48" t="n">
        <v>0.15</v>
      </c>
      <c r="E48" t="inlineStr">
        <is>
          <t>Corporate vs. franchisee controls</t>
        </is>
      </c>
      <c r="F48" t="inlineStr">
        <is>
          <t>N</t>
        </is>
      </c>
      <c r="G48" t="n">
        <v>1</v>
      </c>
      <c r="H48" t="n">
        <v>3.4412</v>
      </c>
      <c r="I48" t="inlineStr">
        <is>
          <t>rule</t>
        </is>
      </c>
    </row>
    <row r="49">
      <c r="A49" t="inlineStr">
        <is>
          <t>Hapana</t>
        </is>
      </c>
      <c r="B49" t="inlineStr">
        <is>
          <t>core_features</t>
        </is>
      </c>
      <c r="C49" t="inlineStr">
        <is>
          <t>Core Features</t>
        </is>
      </c>
      <c r="D49" t="n">
        <v>0.15</v>
      </c>
      <c r="E49" t="inlineStr">
        <is>
          <t>CRM / lead management (workbook 5.9)</t>
        </is>
      </c>
      <c r="F49" t="inlineStr">
        <is>
          <t>N</t>
        </is>
      </c>
      <c r="G49" t="n">
        <v>1</v>
      </c>
      <c r="H49" t="n">
        <v>3.875</v>
      </c>
      <c r="I49" t="inlineStr">
        <is>
          <t>rule</t>
        </is>
      </c>
    </row>
    <row r="50">
      <c r="A50" t="inlineStr">
        <is>
          <t>Hapana</t>
        </is>
      </c>
      <c r="B50" t="inlineStr">
        <is>
          <t>core_features</t>
        </is>
      </c>
      <c r="C50" t="inlineStr">
        <is>
          <t>Core Features</t>
        </is>
      </c>
      <c r="D50" t="n">
        <v>0.15</v>
      </c>
      <c r="E50" t="inlineStr">
        <is>
          <t>Member lifecycle</t>
        </is>
      </c>
      <c r="F50" t="inlineStr">
        <is>
          <t>N</t>
        </is>
      </c>
      <c r="G50" t="n">
        <v>1</v>
      </c>
      <c r="H50" t="n">
        <v>4.7143</v>
      </c>
      <c r="I50" t="inlineStr">
        <is>
          <t>rule</t>
        </is>
      </c>
    </row>
    <row r="51">
      <c r="A51" t="inlineStr">
        <is>
          <t>Hapana</t>
        </is>
      </c>
      <c r="B51" t="inlineStr">
        <is>
          <t>innovation_roadmap</t>
        </is>
      </c>
      <c r="C51" t="inlineStr">
        <is>
          <t>Innovation &amp; Roadmap</t>
        </is>
      </c>
      <c r="D51" t="n">
        <v>0.05</v>
      </c>
      <c r="E51" t="inlineStr">
        <is>
          <t>Mobile-first (workbook 5.10)</t>
        </is>
      </c>
      <c r="F51" t="inlineStr">
        <is>
          <t>N</t>
        </is>
      </c>
      <c r="G51" t="n">
        <v>1</v>
      </c>
      <c r="H51" t="n">
        <v>3.9333</v>
      </c>
      <c r="I51" t="inlineStr">
        <is>
          <t>rule</t>
        </is>
      </c>
    </row>
    <row r="52">
      <c r="A52" t="inlineStr">
        <is>
          <t>Hapana</t>
        </is>
      </c>
      <c r="B52" t="inlineStr">
        <is>
          <t>core_features</t>
        </is>
      </c>
      <c r="C52" t="inlineStr">
        <is>
          <t>Core Features</t>
        </is>
      </c>
      <c r="D52" t="n">
        <v>0.15</v>
      </c>
      <c r="E52" t="inlineStr">
        <is>
          <t>Operational reporting</t>
        </is>
      </c>
      <c r="F52" t="inlineStr">
        <is>
          <t>N</t>
        </is>
      </c>
      <c r="G52" t="n">
        <v>1</v>
      </c>
      <c r="H52" t="n">
        <v>4.8</v>
      </c>
      <c r="I52" t="inlineStr">
        <is>
          <t>rule</t>
        </is>
      </c>
    </row>
    <row r="53">
      <c r="A53" t="inlineStr">
        <is>
          <t>Hapana</t>
        </is>
      </c>
      <c r="B53" t="inlineStr">
        <is>
          <t>core_features</t>
        </is>
      </c>
      <c r="C53" t="inlineStr">
        <is>
          <t>Core Features</t>
        </is>
      </c>
      <c r="D53" t="n">
        <v>0.15</v>
      </c>
      <c r="E53" t="inlineStr">
        <is>
          <t>Plans &amp; pricing</t>
        </is>
      </c>
      <c r="F53" t="inlineStr">
        <is>
          <t>N</t>
        </is>
      </c>
      <c r="G53" t="n">
        <v>1</v>
      </c>
      <c r="H53" t="n">
        <v>4.6667</v>
      </c>
      <c r="I53" t="inlineStr">
        <is>
          <t>rule</t>
        </is>
      </c>
    </row>
    <row r="54">
      <c r="A54" t="inlineStr">
        <is>
          <t>Hapana</t>
        </is>
      </c>
      <c r="B54" t="inlineStr">
        <is>
          <t>core_features</t>
        </is>
      </c>
      <c r="C54" t="inlineStr">
        <is>
          <t>Core Features</t>
        </is>
      </c>
      <c r="D54" t="n">
        <v>0.15</v>
      </c>
      <c r="E54" t="inlineStr">
        <is>
          <t>POS / retail</t>
        </is>
      </c>
      <c r="F54" t="inlineStr">
        <is>
          <t>N</t>
        </is>
      </c>
      <c r="G54" t="n">
        <v>1</v>
      </c>
      <c r="H54" t="n">
        <v>3.6667</v>
      </c>
      <c r="I54" t="inlineStr">
        <is>
          <t>rule</t>
        </is>
      </c>
    </row>
    <row r="55">
      <c r="A55" t="inlineStr">
        <is>
          <t>Hapana</t>
        </is>
      </c>
      <c r="B55" t="inlineStr">
        <is>
          <t>core_features</t>
        </is>
      </c>
      <c r="C55" t="inlineStr">
        <is>
          <t>Core Features</t>
        </is>
      </c>
      <c r="D55" t="n">
        <v>0.15</v>
      </c>
      <c r="E55" t="inlineStr">
        <is>
          <t>Scheduling (workbook 5.14)</t>
        </is>
      </c>
      <c r="F55" t="inlineStr">
        <is>
          <t>N</t>
        </is>
      </c>
      <c r="G55" t="n">
        <v>1</v>
      </c>
      <c r="H55" t="n">
        <v>3.6047</v>
      </c>
      <c r="I55" t="inlineStr">
        <is>
          <t>rule</t>
        </is>
      </c>
    </row>
    <row r="56">
      <c r="A56" t="inlineStr">
        <is>
          <t>Hapana</t>
        </is>
      </c>
      <c r="B56" t="inlineStr">
        <is>
          <t>core_features</t>
        </is>
      </c>
      <c r="C56" t="inlineStr">
        <is>
          <t>Core Features</t>
        </is>
      </c>
      <c r="D56" t="n">
        <v>0.15</v>
      </c>
      <c r="E56" t="inlineStr">
        <is>
          <t>Travel pass</t>
        </is>
      </c>
      <c r="F56" t="inlineStr">
        <is>
          <t>N</t>
        </is>
      </c>
      <c r="G56" t="n">
        <v>1</v>
      </c>
      <c r="H56" t="n">
        <v>4.5</v>
      </c>
      <c r="I56" t="inlineStr">
        <is>
          <t>rule</t>
        </is>
      </c>
    </row>
    <row r="57">
      <c r="A57" t="inlineStr">
        <is>
          <t>Hapana</t>
        </is>
      </c>
      <c r="B57" t="inlineStr">
        <is>
          <t>core_features</t>
        </is>
      </c>
      <c r="C57" t="inlineStr">
        <is>
          <t>Core Features</t>
        </is>
      </c>
      <c r="D57" t="n">
        <v>0.15</v>
      </c>
      <c r="E57" t="inlineStr">
        <is>
          <t>Workforce / personal training (workbook 5.13)</t>
        </is>
      </c>
      <c r="F57" t="inlineStr">
        <is>
          <t>N</t>
        </is>
      </c>
      <c r="G57" t="n">
        <v>1</v>
      </c>
      <c r="H57" t="n">
        <v>3.9355</v>
      </c>
      <c r="I57" t="inlineStr">
        <is>
          <t>rule</t>
        </is>
      </c>
    </row>
    <row r="58">
      <c r="A58" t="inlineStr">
        <is>
          <t>ABC Fitness</t>
        </is>
      </c>
      <c r="B58" t="inlineStr">
        <is>
          <t>api_integration</t>
        </is>
      </c>
      <c r="C58" t="inlineStr">
        <is>
          <t>API &amp; Integration</t>
        </is>
      </c>
      <c r="D58" t="n">
        <v>0.25</v>
      </c>
      <c r="E58" t="inlineStr">
        <is>
          <t>API maturity &amp; coverage</t>
        </is>
      </c>
      <c r="F58" t="inlineStr">
        <is>
          <t>N</t>
        </is>
      </c>
      <c r="G58" t="n">
        <v>1</v>
      </c>
      <c r="H58" t="n">
        <v>4.9167</v>
      </c>
      <c r="I58" t="inlineStr">
        <is>
          <t>rule</t>
        </is>
      </c>
    </row>
    <row r="59">
      <c r="A59" t="inlineStr">
        <is>
          <t>ABC Fitness</t>
        </is>
      </c>
      <c r="B59" t="inlineStr">
        <is>
          <t>core_features</t>
        </is>
      </c>
      <c r="C59" t="inlineStr">
        <is>
          <t>Core Features</t>
        </is>
      </c>
      <c r="D59" t="n">
        <v>0.15</v>
      </c>
      <c r="E59" t="inlineStr">
        <is>
          <t>Billing &amp; collections</t>
        </is>
      </c>
      <c r="F59" t="inlineStr">
        <is>
          <t>N</t>
        </is>
      </c>
      <c r="G59" t="n">
        <v>1</v>
      </c>
      <c r="H59" t="n">
        <v>5</v>
      </c>
      <c r="I59" t="inlineStr">
        <is>
          <t>rule</t>
        </is>
      </c>
    </row>
    <row r="60">
      <c r="A60" t="inlineStr">
        <is>
          <t>ABC Fitness</t>
        </is>
      </c>
      <c r="B60" t="inlineStr">
        <is>
          <t>core_features</t>
        </is>
      </c>
      <c r="C60" t="inlineStr">
        <is>
          <t>Core Features</t>
        </is>
      </c>
      <c r="D60" t="n">
        <v>0.15</v>
      </c>
      <c r="E60" t="inlineStr">
        <is>
          <t>Check-in &amp; access control</t>
        </is>
      </c>
      <c r="F60" t="inlineStr">
        <is>
          <t>N</t>
        </is>
      </c>
      <c r="G60" t="n">
        <v>1</v>
      </c>
      <c r="H60" t="n">
        <v>4.2</v>
      </c>
      <c r="I60" t="inlineStr">
        <is>
          <t>rule</t>
        </is>
      </c>
    </row>
    <row r="61">
      <c r="A61" t="inlineStr">
        <is>
          <t>ABC Fitness</t>
        </is>
      </c>
      <c r="B61" t="inlineStr">
        <is>
          <t>core_features</t>
        </is>
      </c>
      <c r="C61" t="inlineStr">
        <is>
          <t>Core Features</t>
        </is>
      </c>
      <c r="D61" t="n">
        <v>0.15</v>
      </c>
      <c r="E61" t="inlineStr">
        <is>
          <t>Member communications</t>
        </is>
      </c>
      <c r="F61" t="inlineStr">
        <is>
          <t>N</t>
        </is>
      </c>
      <c r="G61" t="n">
        <v>1</v>
      </c>
      <c r="H61" t="n">
        <v>2.1429</v>
      </c>
      <c r="I61" t="inlineStr">
        <is>
          <t>rule</t>
        </is>
      </c>
    </row>
    <row r="62">
      <c r="A62" t="inlineStr">
        <is>
          <t>ABC Fitness</t>
        </is>
      </c>
      <c r="B62" t="inlineStr">
        <is>
          <t>franchise_architecture</t>
        </is>
      </c>
      <c r="C62" t="inlineStr">
        <is>
          <t>Franchise Architecture</t>
        </is>
      </c>
      <c r="D62" t="n">
        <v>0.15</v>
      </c>
      <c r="E62" t="inlineStr">
        <is>
          <t>Corporate vs. franchisee controls</t>
        </is>
      </c>
      <c r="F62" t="inlineStr">
        <is>
          <t>N</t>
        </is>
      </c>
      <c r="G62" t="n">
        <v>1</v>
      </c>
      <c r="H62" t="n">
        <v>1.9412</v>
      </c>
      <c r="I62" t="inlineStr">
        <is>
          <t>rule</t>
        </is>
      </c>
    </row>
    <row r="63">
      <c r="A63" t="inlineStr">
        <is>
          <t>ABC Fitness</t>
        </is>
      </c>
      <c r="B63" t="inlineStr">
        <is>
          <t>core_features</t>
        </is>
      </c>
      <c r="C63" t="inlineStr">
        <is>
          <t>Core Features</t>
        </is>
      </c>
      <c r="D63" t="n">
        <v>0.15</v>
      </c>
      <c r="E63" t="inlineStr">
        <is>
          <t>CRM / lead management (workbook 5.9)</t>
        </is>
      </c>
      <c r="F63" t="inlineStr">
        <is>
          <t>N</t>
        </is>
      </c>
      <c r="G63" t="n">
        <v>1</v>
      </c>
      <c r="H63" t="n">
        <v>3.625</v>
      </c>
      <c r="I63" t="inlineStr">
        <is>
          <t>rule</t>
        </is>
      </c>
    </row>
    <row r="64">
      <c r="A64" t="inlineStr">
        <is>
          <t>ABC Fitness</t>
        </is>
      </c>
      <c r="B64" t="inlineStr">
        <is>
          <t>core_features</t>
        </is>
      </c>
      <c r="C64" t="inlineStr">
        <is>
          <t>Core Features</t>
        </is>
      </c>
      <c r="D64" t="n">
        <v>0.15</v>
      </c>
      <c r="E64" t="inlineStr">
        <is>
          <t>Member lifecycle</t>
        </is>
      </c>
      <c r="F64" t="inlineStr">
        <is>
          <t>N</t>
        </is>
      </c>
      <c r="G64" t="n">
        <v>1</v>
      </c>
      <c r="H64" t="n">
        <v>4.5714</v>
      </c>
      <c r="I64" t="inlineStr">
        <is>
          <t>rule</t>
        </is>
      </c>
    </row>
    <row r="65">
      <c r="A65" t="inlineStr">
        <is>
          <t>ABC Fitness</t>
        </is>
      </c>
      <c r="B65" t="inlineStr">
        <is>
          <t>innovation_roadmap</t>
        </is>
      </c>
      <c r="C65" t="inlineStr">
        <is>
          <t>Innovation &amp; Roadmap</t>
        </is>
      </c>
      <c r="D65" t="n">
        <v>0.05</v>
      </c>
      <c r="E65" t="inlineStr">
        <is>
          <t>Mobile-first (workbook 5.10)</t>
        </is>
      </c>
      <c r="F65" t="inlineStr">
        <is>
          <t>N</t>
        </is>
      </c>
      <c r="G65" t="n">
        <v>1</v>
      </c>
      <c r="H65" t="n">
        <v>3.6667</v>
      </c>
      <c r="I65" t="inlineStr">
        <is>
          <t>rule</t>
        </is>
      </c>
    </row>
    <row r="66">
      <c r="A66" t="inlineStr">
        <is>
          <t>ABC Fitness</t>
        </is>
      </c>
      <c r="B66" t="inlineStr">
        <is>
          <t>core_features</t>
        </is>
      </c>
      <c r="C66" t="inlineStr">
        <is>
          <t>Core Features</t>
        </is>
      </c>
      <c r="D66" t="n">
        <v>0.15</v>
      </c>
      <c r="E66" t="inlineStr">
        <is>
          <t>Operational reporting</t>
        </is>
      </c>
      <c r="F66" t="inlineStr">
        <is>
          <t>N</t>
        </is>
      </c>
      <c r="G66" t="n">
        <v>1</v>
      </c>
      <c r="H66" t="n">
        <v>4.6</v>
      </c>
      <c r="I66" t="inlineStr">
        <is>
          <t>rule</t>
        </is>
      </c>
    </row>
    <row r="67">
      <c r="A67" t="inlineStr">
        <is>
          <t>ABC Fitness</t>
        </is>
      </c>
      <c r="B67" t="inlineStr">
        <is>
          <t>core_features</t>
        </is>
      </c>
      <c r="C67" t="inlineStr">
        <is>
          <t>Core Features</t>
        </is>
      </c>
      <c r="D67" t="n">
        <v>0.15</v>
      </c>
      <c r="E67" t="inlineStr">
        <is>
          <t>Plans &amp; pricing</t>
        </is>
      </c>
      <c r="F67" t="inlineStr">
        <is>
          <t>N</t>
        </is>
      </c>
      <c r="G67" t="n">
        <v>1</v>
      </c>
      <c r="H67" t="n">
        <v>4.2222</v>
      </c>
      <c r="I67" t="inlineStr">
        <is>
          <t>rule</t>
        </is>
      </c>
    </row>
    <row r="68">
      <c r="A68" t="inlineStr">
        <is>
          <t>ABC Fitness</t>
        </is>
      </c>
      <c r="B68" t="inlineStr">
        <is>
          <t>core_features</t>
        </is>
      </c>
      <c r="C68" t="inlineStr">
        <is>
          <t>Core Features</t>
        </is>
      </c>
      <c r="D68" t="n">
        <v>0.15</v>
      </c>
      <c r="E68" t="inlineStr">
        <is>
          <t>POS / retail</t>
        </is>
      </c>
      <c r="F68" t="inlineStr">
        <is>
          <t>N</t>
        </is>
      </c>
      <c r="G68" t="n">
        <v>1</v>
      </c>
      <c r="H68" t="n">
        <v>4.6667</v>
      </c>
      <c r="I68" t="inlineStr">
        <is>
          <t>rule</t>
        </is>
      </c>
    </row>
    <row r="69">
      <c r="A69" t="inlineStr">
        <is>
          <t>ABC Fitness</t>
        </is>
      </c>
      <c r="B69" t="inlineStr">
        <is>
          <t>core_features</t>
        </is>
      </c>
      <c r="C69" t="inlineStr">
        <is>
          <t>Core Features</t>
        </is>
      </c>
      <c r="D69" t="n">
        <v>0.15</v>
      </c>
      <c r="E69" t="inlineStr">
        <is>
          <t>Scheduling (workbook 5.14)</t>
        </is>
      </c>
      <c r="F69" t="inlineStr">
        <is>
          <t>N</t>
        </is>
      </c>
      <c r="G69" t="n">
        <v>1</v>
      </c>
      <c r="H69" t="n">
        <v>3.3488</v>
      </c>
      <c r="I69" t="inlineStr">
        <is>
          <t>rule</t>
        </is>
      </c>
    </row>
    <row r="70">
      <c r="A70" t="inlineStr">
        <is>
          <t>ABC Fitness</t>
        </is>
      </c>
      <c r="B70" t="inlineStr">
        <is>
          <t>core_features</t>
        </is>
      </c>
      <c r="C70" t="inlineStr">
        <is>
          <t>Core Features</t>
        </is>
      </c>
      <c r="D70" t="n">
        <v>0.15</v>
      </c>
      <c r="E70" t="inlineStr">
        <is>
          <t>Travel pass</t>
        </is>
      </c>
      <c r="F70" t="inlineStr">
        <is>
          <t>N</t>
        </is>
      </c>
      <c r="G70" t="n">
        <v>1</v>
      </c>
      <c r="H70" t="n">
        <v>4.1667</v>
      </c>
      <c r="I70" t="inlineStr">
        <is>
          <t>rule</t>
        </is>
      </c>
    </row>
    <row r="71">
      <c r="A71" t="inlineStr">
        <is>
          <t>ABC Fitness</t>
        </is>
      </c>
      <c r="B71" t="inlineStr">
        <is>
          <t>core_features</t>
        </is>
      </c>
      <c r="C71" t="inlineStr">
        <is>
          <t>Core Features</t>
        </is>
      </c>
      <c r="D71" t="n">
        <v>0.15</v>
      </c>
      <c r="E71" t="inlineStr">
        <is>
          <t>Workforce / personal training (workbook 5.13)</t>
        </is>
      </c>
      <c r="F71" t="inlineStr">
        <is>
          <t>N</t>
        </is>
      </c>
      <c r="G71" t="n">
        <v>1</v>
      </c>
      <c r="H71" t="n">
        <v>3.1935</v>
      </c>
      <c r="I71" t="inlineStr">
        <is>
          <t>rule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Category</t>
        </is>
      </c>
      <c r="B1" s="1" t="inlineStr">
        <is>
          <t>Weight</t>
        </is>
      </c>
      <c r="C1" s="1" t="inlineStr">
        <is>
          <t>Zenoti</t>
        </is>
      </c>
      <c r="D1" s="1" t="inlineStr">
        <is>
          <t>Fliip</t>
        </is>
      </c>
      <c r="E1" s="1" t="inlineStr">
        <is>
          <t>Sport Alliance</t>
        </is>
      </c>
      <c r="F1" s="1" t="inlineStr">
        <is>
          <t>Hapana</t>
        </is>
      </c>
      <c r="G1" s="1" t="inlineStr">
        <is>
          <t>ABC Fitness</t>
        </is>
      </c>
    </row>
    <row r="2">
      <c r="A2" t="inlineStr">
        <is>
          <t>API &amp; Integration</t>
        </is>
      </c>
      <c r="B2" t="n">
        <v>0.25</v>
      </c>
      <c r="C2">
        <f>SUMPRODUCT(('Item Scores'!$A$2:$A$71="Zenoti")*('Item Scores'!$B$2:$B$71="api_integration")*'Item Scores'!$G$2:$G$71*'Item Scores'!$H$2:$H$71)/SUMPRODUCT(('Item Scores'!$A$2:$A$71="Zenoti")*('Item Scores'!$B$2:$B$71="api_integration")*'Item Scores'!$G$2:$G$71)</f>
        <v/>
      </c>
      <c r="D2">
        <f>SUMPRODUCT(('Item Scores'!$A$2:$A$71="Fliip")*('Item Scores'!$B$2:$B$71="api_integration")*'Item Scores'!$G$2:$G$71*'Item Scores'!$H$2:$H$71)/SUMPRODUCT(('Item Scores'!$A$2:$A$71="Fliip")*('Item Scores'!$B$2:$B$71="api_integration")*'Item Scores'!$G$2:$G$71)</f>
        <v/>
      </c>
      <c r="E2">
        <f>SUMPRODUCT(('Item Scores'!$A$2:$A$71="Sport Alliance")*('Item Scores'!$B$2:$B$71="api_integration")*'Item Scores'!$G$2:$G$71*'Item Scores'!$H$2:$H$71)/SUMPRODUCT(('Item Scores'!$A$2:$A$71="Sport Alliance")*('Item Scores'!$B$2:$B$71="api_integration")*'Item Scores'!$G$2:$G$71)</f>
        <v/>
      </c>
      <c r="F2">
        <f>SUMPRODUCT(('Item Scores'!$A$2:$A$71="Hapana")*('Item Scores'!$B$2:$B$71="api_integration")*'Item Scores'!$G$2:$G$71*'Item Scores'!$H$2:$H$71)/SUMPRODUCT(('Item Scores'!$A$2:$A$71="Hapana")*('Item Scores'!$B$2:$B$71="api_integration")*'Item Scores'!$G$2:$G$71)</f>
        <v/>
      </c>
      <c r="G2">
        <f>SUMPRODUCT(('Item Scores'!$A$2:$A$71="ABC Fitness")*('Item Scores'!$B$2:$B$71="api_integration")*'Item Scores'!$G$2:$G$71*'Item Scores'!$H$2:$H$71)/SUMPRODUCT(('Item Scores'!$A$2:$A$71="ABC Fitness")*('Item Scores'!$B$2:$B$71="api_integration")*'Item Scores'!$G$2:$G$71)</f>
        <v/>
      </c>
    </row>
    <row r="3">
      <c r="A3" t="inlineStr">
        <is>
          <t>Data Ownership &amp; Portability</t>
        </is>
      </c>
      <c r="B3" t="n">
        <v>0.2</v>
      </c>
      <c r="C3">
        <f>SUMPRODUCT(('Item Scores'!$A$2:$A$71="Zenoti")*('Item Scores'!$B$2:$B$71="data_ownership")*'Item Scores'!$G$2:$G$71*'Item Scores'!$H$2:$H$71)/SUMPRODUCT(('Item Scores'!$A$2:$A$71="Zenoti")*('Item Scores'!$B$2:$B$71="data_ownership")*'Item Scores'!$G$2:$G$71)</f>
        <v/>
      </c>
      <c r="D3">
        <f>SUMPRODUCT(('Item Scores'!$A$2:$A$71="Fliip")*('Item Scores'!$B$2:$B$71="data_ownership")*'Item Scores'!$G$2:$G$71*'Item Scores'!$H$2:$H$71)/SUMPRODUCT(('Item Scores'!$A$2:$A$71="Fliip")*('Item Scores'!$B$2:$B$71="data_ownership")*'Item Scores'!$G$2:$G$71)</f>
        <v/>
      </c>
      <c r="E3">
        <f>SUMPRODUCT(('Item Scores'!$A$2:$A$71="Sport Alliance")*('Item Scores'!$B$2:$B$71="data_ownership")*'Item Scores'!$G$2:$G$71*'Item Scores'!$H$2:$H$71)/SUMPRODUCT(('Item Scores'!$A$2:$A$71="Sport Alliance")*('Item Scores'!$B$2:$B$71="data_ownership")*'Item Scores'!$G$2:$G$71)</f>
        <v/>
      </c>
      <c r="F3">
        <f>SUMPRODUCT(('Item Scores'!$A$2:$A$71="Hapana")*('Item Scores'!$B$2:$B$71="data_ownership")*'Item Scores'!$G$2:$G$71*'Item Scores'!$H$2:$H$71)/SUMPRODUCT(('Item Scores'!$A$2:$A$71="Hapana")*('Item Scores'!$B$2:$B$71="data_ownership")*'Item Scores'!$G$2:$G$71)</f>
        <v/>
      </c>
      <c r="G3">
        <f>SUMPRODUCT(('Item Scores'!$A$2:$A$71="ABC Fitness")*('Item Scores'!$B$2:$B$71="data_ownership")*'Item Scores'!$G$2:$G$71*'Item Scores'!$H$2:$H$71)/SUMPRODUCT(('Item Scores'!$A$2:$A$71="ABC Fitness")*('Item Scores'!$B$2:$B$71="data_ownership")*'Item Scores'!$G$2:$G$71)</f>
        <v/>
      </c>
    </row>
    <row r="4">
      <c r="A4" t="inlineStr">
        <is>
          <t>Franchise Architecture</t>
        </is>
      </c>
      <c r="B4" t="n">
        <v>0.15</v>
      </c>
      <c r="C4">
        <f>SUMPRODUCT(('Item Scores'!$A$2:$A$71="Zenoti")*('Item Scores'!$B$2:$B$71="franchise_architecture")*'Item Scores'!$G$2:$G$71*'Item Scores'!$H$2:$H$71)/SUMPRODUCT(('Item Scores'!$A$2:$A$71="Zenoti")*('Item Scores'!$B$2:$B$71="franchise_architecture")*'Item Scores'!$G$2:$G$71)</f>
        <v/>
      </c>
      <c r="D4">
        <f>SUMPRODUCT(('Item Scores'!$A$2:$A$71="Fliip")*('Item Scores'!$B$2:$B$71="franchise_architecture")*'Item Scores'!$G$2:$G$71*'Item Scores'!$H$2:$H$71)/SUMPRODUCT(('Item Scores'!$A$2:$A$71="Fliip")*('Item Scores'!$B$2:$B$71="franchise_architecture")*'Item Scores'!$G$2:$G$71)</f>
        <v/>
      </c>
      <c r="E4">
        <f>SUMPRODUCT(('Item Scores'!$A$2:$A$71="Sport Alliance")*('Item Scores'!$B$2:$B$71="franchise_architecture")*'Item Scores'!$G$2:$G$71*'Item Scores'!$H$2:$H$71)/SUMPRODUCT(('Item Scores'!$A$2:$A$71="Sport Alliance")*('Item Scores'!$B$2:$B$71="franchise_architecture")*'Item Scores'!$G$2:$G$71)</f>
        <v/>
      </c>
      <c r="F4">
        <f>SUMPRODUCT(('Item Scores'!$A$2:$A$71="Hapana")*('Item Scores'!$B$2:$B$71="franchise_architecture")*'Item Scores'!$G$2:$G$71*'Item Scores'!$H$2:$H$71)/SUMPRODUCT(('Item Scores'!$A$2:$A$71="Hapana")*('Item Scores'!$B$2:$B$71="franchise_architecture")*'Item Scores'!$G$2:$G$71)</f>
        <v/>
      </c>
      <c r="G4">
        <f>SUMPRODUCT(('Item Scores'!$A$2:$A$71="ABC Fitness")*('Item Scores'!$B$2:$B$71="franchise_architecture")*'Item Scores'!$G$2:$G$71*'Item Scores'!$H$2:$H$71)/SUMPRODUCT(('Item Scores'!$A$2:$A$71="ABC Fitness")*('Item Scores'!$B$2:$B$71="franchise_architecture")*'Item Scores'!$G$2:$G$71)</f>
        <v/>
      </c>
    </row>
    <row r="5">
      <c r="A5" t="inlineStr">
        <is>
          <t>Core Features</t>
        </is>
      </c>
      <c r="B5" t="n">
        <v>0.15</v>
      </c>
      <c r="C5">
        <f>SUMPRODUCT(('Item Scores'!$A$2:$A$71="Zenoti")*('Item Scores'!$B$2:$B$71="core_features")*'Item Scores'!$G$2:$G$71*'Item Scores'!$H$2:$H$71)/SUMPRODUCT(('Item Scores'!$A$2:$A$71="Zenoti")*('Item Scores'!$B$2:$B$71="core_features")*'Item Scores'!$G$2:$G$71)</f>
        <v/>
      </c>
      <c r="D5">
        <f>SUMPRODUCT(('Item Scores'!$A$2:$A$71="Fliip")*('Item Scores'!$B$2:$B$71="core_features")*'Item Scores'!$G$2:$G$71*'Item Scores'!$H$2:$H$71)/SUMPRODUCT(('Item Scores'!$A$2:$A$71="Fliip")*('Item Scores'!$B$2:$B$71="core_features")*'Item Scores'!$G$2:$G$71)</f>
        <v/>
      </c>
      <c r="E5">
        <f>SUMPRODUCT(('Item Scores'!$A$2:$A$71="Sport Alliance")*('Item Scores'!$B$2:$B$71="core_features")*'Item Scores'!$G$2:$G$71*'Item Scores'!$H$2:$H$71)/SUMPRODUCT(('Item Scores'!$A$2:$A$71="Sport Alliance")*('Item Scores'!$B$2:$B$71="core_features")*'Item Scores'!$G$2:$G$71)</f>
        <v/>
      </c>
      <c r="F5">
        <f>SUMPRODUCT(('Item Scores'!$A$2:$A$71="Hapana")*('Item Scores'!$B$2:$B$71="core_features")*'Item Scores'!$G$2:$G$71*'Item Scores'!$H$2:$H$71)/SUMPRODUCT(('Item Scores'!$A$2:$A$71="Hapana")*('Item Scores'!$B$2:$B$71="core_features")*'Item Scores'!$G$2:$G$71)</f>
        <v/>
      </c>
      <c r="G5">
        <f>SUMPRODUCT(('Item Scores'!$A$2:$A$71="ABC Fitness")*('Item Scores'!$B$2:$B$71="core_features")*'Item Scores'!$G$2:$G$71*'Item Scores'!$H$2:$H$71)/SUMPRODUCT(('Item Scores'!$A$2:$A$71="ABC Fitness")*('Item Scores'!$B$2:$B$71="core_features")*'Item Scores'!$G$2:$G$71)</f>
        <v/>
      </c>
    </row>
    <row r="6">
      <c r="A6" t="inlineStr">
        <is>
          <t>Commercial Terms</t>
        </is>
      </c>
      <c r="B6" t="n">
        <v>0.1</v>
      </c>
      <c r="C6">
        <f>SUMPRODUCT(('Item Scores'!$A$2:$A$71="Zenoti")*('Item Scores'!$B$2:$B$71="commercial_terms")*'Item Scores'!$G$2:$G$71*'Item Scores'!$H$2:$H$71)/SUMPRODUCT(('Item Scores'!$A$2:$A$71="Zenoti")*('Item Scores'!$B$2:$B$71="commercial_terms")*'Item Scores'!$G$2:$G$71)</f>
        <v/>
      </c>
      <c r="D6">
        <f>SUMPRODUCT(('Item Scores'!$A$2:$A$71="Fliip")*('Item Scores'!$B$2:$B$71="commercial_terms")*'Item Scores'!$G$2:$G$71*'Item Scores'!$H$2:$H$71)/SUMPRODUCT(('Item Scores'!$A$2:$A$71="Fliip")*('Item Scores'!$B$2:$B$71="commercial_terms")*'Item Scores'!$G$2:$G$71)</f>
        <v/>
      </c>
      <c r="E6">
        <f>SUMPRODUCT(('Item Scores'!$A$2:$A$71="Sport Alliance")*('Item Scores'!$B$2:$B$71="commercial_terms")*'Item Scores'!$G$2:$G$71*'Item Scores'!$H$2:$H$71)/SUMPRODUCT(('Item Scores'!$A$2:$A$71="Sport Alliance")*('Item Scores'!$B$2:$B$71="commercial_terms")*'Item Scores'!$G$2:$G$71)</f>
        <v/>
      </c>
      <c r="F6">
        <f>SUMPRODUCT(('Item Scores'!$A$2:$A$71="Hapana")*('Item Scores'!$B$2:$B$71="commercial_terms")*'Item Scores'!$G$2:$G$71*'Item Scores'!$H$2:$H$71)/SUMPRODUCT(('Item Scores'!$A$2:$A$71="Hapana")*('Item Scores'!$B$2:$B$71="commercial_terms")*'Item Scores'!$G$2:$G$71)</f>
        <v/>
      </c>
      <c r="G6">
        <f>SUMPRODUCT(('Item Scores'!$A$2:$A$71="ABC Fitness")*('Item Scores'!$B$2:$B$71="commercial_terms")*'Item Scores'!$G$2:$G$71*'Item Scores'!$H$2:$H$71)/SUMPRODUCT(('Item Scores'!$A$2:$A$71="ABC Fitness")*('Item Scores'!$B$2:$B$71="commercial_terms")*'Item Scores'!$G$2:$G$71)</f>
        <v/>
      </c>
    </row>
    <row r="7">
      <c r="A7" t="inlineStr">
        <is>
          <t>Reliability &amp; SLA</t>
        </is>
      </c>
      <c r="B7" t="n">
        <v>0.1</v>
      </c>
      <c r="C7">
        <f>SUMPRODUCT(('Item Scores'!$A$2:$A$71="Zenoti")*('Item Scores'!$B$2:$B$71="reliability_sla")*'Item Scores'!$G$2:$G$71*'Item Scores'!$H$2:$H$71)/SUMPRODUCT(('Item Scores'!$A$2:$A$71="Zenoti")*('Item Scores'!$B$2:$B$71="reliability_sla")*'Item Scores'!$G$2:$G$71)</f>
        <v/>
      </c>
      <c r="D7">
        <f>SUMPRODUCT(('Item Scores'!$A$2:$A$71="Fliip")*('Item Scores'!$B$2:$B$71="reliability_sla")*'Item Scores'!$G$2:$G$71*'Item Scores'!$H$2:$H$71)/SUMPRODUCT(('Item Scores'!$A$2:$A$71="Fliip")*('Item Scores'!$B$2:$B$71="reliability_sla")*'Item Scores'!$G$2:$G$71)</f>
        <v/>
      </c>
      <c r="E7">
        <f>SUMPRODUCT(('Item Scores'!$A$2:$A$71="Sport Alliance")*('Item Scores'!$B$2:$B$71="reliability_sla")*'Item Scores'!$G$2:$G$71*'Item Scores'!$H$2:$H$71)/SUMPRODUCT(('Item Scores'!$A$2:$A$71="Sport Alliance")*('Item Scores'!$B$2:$B$71="reliability_sla")*'Item Scores'!$G$2:$G$71)</f>
        <v/>
      </c>
      <c r="F7">
        <f>SUMPRODUCT(('Item Scores'!$A$2:$A$71="Hapana")*('Item Scores'!$B$2:$B$71="reliability_sla")*'Item Scores'!$G$2:$G$71*'Item Scores'!$H$2:$H$71)/SUMPRODUCT(('Item Scores'!$A$2:$A$71="Hapana")*('Item Scores'!$B$2:$B$71="reliability_sla")*'Item Scores'!$G$2:$G$71)</f>
        <v/>
      </c>
      <c r="G7">
        <f>SUMPRODUCT(('Item Scores'!$A$2:$A$71="ABC Fitness")*('Item Scores'!$B$2:$B$71="reliability_sla")*'Item Scores'!$G$2:$G$71*'Item Scores'!$H$2:$H$71)/SUMPRODUCT(('Item Scores'!$A$2:$A$71="ABC Fitness")*('Item Scores'!$B$2:$B$71="reliability_sla")*'Item Scores'!$G$2:$G$71)</f>
        <v/>
      </c>
    </row>
    <row r="8">
      <c r="A8" t="inlineStr">
        <is>
          <t>Innovation &amp; Roadmap</t>
        </is>
      </c>
      <c r="B8" t="n">
        <v>0.05</v>
      </c>
      <c r="C8">
        <f>SUMPRODUCT(('Item Scores'!$A$2:$A$71="Zenoti")*('Item Scores'!$B$2:$B$71="innovation_roadmap")*'Item Scores'!$G$2:$G$71*'Item Scores'!$H$2:$H$71)/SUMPRODUCT(('Item Scores'!$A$2:$A$71="Zenoti")*('Item Scores'!$B$2:$B$71="innovation_roadmap")*'Item Scores'!$G$2:$G$71)</f>
        <v/>
      </c>
      <c r="D8">
        <f>SUMPRODUCT(('Item Scores'!$A$2:$A$71="Fliip")*('Item Scores'!$B$2:$B$71="innovation_roadmap")*'Item Scores'!$G$2:$G$71*'Item Scores'!$H$2:$H$71)/SUMPRODUCT(('Item Scores'!$A$2:$A$71="Fliip")*('Item Scores'!$B$2:$B$71="innovation_roadmap")*'Item Scores'!$G$2:$G$71)</f>
        <v/>
      </c>
      <c r="E8">
        <f>SUMPRODUCT(('Item Scores'!$A$2:$A$71="Sport Alliance")*('Item Scores'!$B$2:$B$71="innovation_roadmap")*'Item Scores'!$G$2:$G$71*'Item Scores'!$H$2:$H$71)/SUMPRODUCT(('Item Scores'!$A$2:$A$71="Sport Alliance")*('Item Scores'!$B$2:$B$71="innovation_roadmap")*'Item Scores'!$G$2:$G$71)</f>
        <v/>
      </c>
      <c r="F8">
        <f>SUMPRODUCT(('Item Scores'!$A$2:$A$71="Hapana")*('Item Scores'!$B$2:$B$71="innovation_roadmap")*'Item Scores'!$G$2:$G$71*'Item Scores'!$H$2:$H$71)/SUMPRODUCT(('Item Scores'!$A$2:$A$71="Hapana")*('Item Scores'!$B$2:$B$71="innovation_roadmap")*'Item Scores'!$G$2:$G$71)</f>
        <v/>
      </c>
      <c r="G8">
        <f>SUMPRODUCT(('Item Scores'!$A$2:$A$71="ABC Fitness")*('Item Scores'!$B$2:$B$71="innovation_roadmap")*'Item Scores'!$G$2:$G$71*'Item Scores'!$H$2:$H$71)/SUMPRODUCT(('Item Scores'!$A$2:$A$71="ABC Fitness")*('Item Scores'!$B$2:$B$71="innovation_roadmap")*'Item Scores'!$G$2:$G$71)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Vendor</t>
        </is>
      </c>
      <c r="B1" s="1" t="inlineStr">
        <is>
          <t>Weighted Total (0-5)</t>
        </is>
      </c>
      <c r="C1" s="1" t="inlineStr">
        <is>
          <t>Total (0-100)</t>
        </is>
      </c>
      <c r="D1" s="1" t="inlineStr">
        <is>
          <t>Pipeline Value (check)</t>
        </is>
      </c>
    </row>
    <row r="2">
      <c r="A2" s="2" t="inlineStr">
        <is>
          <t>Zenoti</t>
        </is>
      </c>
      <c r="B2">
        <f>SUMPRODUCT('Category Scores'!$B$2:$B$8,'Category Scores'!C$2:C$8)</f>
        <v/>
      </c>
      <c r="C2">
        <f>B2*20</f>
        <v/>
      </c>
      <c r="D2" t="n">
        <v>2.9263</v>
      </c>
    </row>
    <row r="3">
      <c r="A3" s="2" t="inlineStr">
        <is>
          <t>Fliip</t>
        </is>
      </c>
      <c r="B3">
        <f>SUMPRODUCT('Category Scores'!$B$2:$B$8,'Category Scores'!D$2:D$8)</f>
        <v/>
      </c>
      <c r="C3">
        <f>B3*20</f>
        <v/>
      </c>
      <c r="D3" t="n">
        <v>2.7638</v>
      </c>
    </row>
    <row r="4">
      <c r="A4" s="2" t="inlineStr">
        <is>
          <t>Sport Alliance</t>
        </is>
      </c>
      <c r="B4">
        <f>SUMPRODUCT('Category Scores'!$B$2:$B$8,'Category Scores'!E$2:E$8)</f>
        <v/>
      </c>
      <c r="C4">
        <f>B4*20</f>
        <v/>
      </c>
      <c r="D4" t="n">
        <v>2.6331</v>
      </c>
    </row>
    <row r="5">
      <c r="A5" s="2" t="inlineStr">
        <is>
          <t>Hapana</t>
        </is>
      </c>
      <c r="B5">
        <f>SUMPRODUCT('Category Scores'!$B$2:$B$8,'Category Scores'!F$2:F$8)</f>
        <v/>
      </c>
      <c r="C5">
        <f>B5*20</f>
        <v/>
      </c>
      <c r="D5" t="n">
        <v>2.5332</v>
      </c>
    </row>
    <row r="6">
      <c r="A6" s="2" t="inlineStr">
        <is>
          <t>ABC Fitness</t>
        </is>
      </c>
      <c r="B6">
        <f>SUMPRODUCT('Category Scores'!$B$2:$B$8,'Category Scores'!G$2:G$8)</f>
        <v/>
      </c>
      <c r="C6">
        <f>B6*20</f>
        <v/>
      </c>
      <c r="D6" t="n">
        <v>2.3001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10" ma:contentTypeDescription="Create a new document." ma:contentTypeScope="" ma:versionID="319caf390a3d3a21c345061350c7ab31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733baaaa917cb3d5e40934a2c92a11ea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Props1.xml><?xml version="1.0" encoding="utf-8"?>
<ds:datastoreItem xmlns:ds="http://schemas.openxmlformats.org/officeDocument/2006/customXml" ds:itemID="{F468F37C-421B-4950-8E6C-8745A6E54EC4}"/>
</file>

<file path=customXml/itemProps2.xml><?xml version="1.0" encoding="utf-8"?>
<ds:datastoreItem xmlns:ds="http://schemas.openxmlformats.org/officeDocument/2006/customXml" ds:itemID="{E574DBEF-F22D-43BF-ACC1-C854DF2BC36A}"/>
</file>

<file path=customXml/itemProps3.xml><?xml version="1.0" encoding="utf-8"?>
<ds:datastoreItem xmlns:ds="http://schemas.openxmlformats.org/officeDocument/2006/customXml" ds:itemID="{1A41ECDF-6EF8-4815-99D7-7C2E9BE7F2A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2026-07-22T16:48:04Z</dcterms:created>
  <dcterms:modified xsi:type="dcterms:W3CDTF">2026-07-22T16:48:04Z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</Properties>
</file>